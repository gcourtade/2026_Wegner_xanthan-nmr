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M:\Olav\Post doc\Instrumentdata\SEC-MALLS\2026\juni 26\260502 Xanthan Gaston\"/>
    </mc:Choice>
  </mc:AlternateContent>
  <xr:revisionPtr revIDLastSave="2" documentId="13_ncr:1_{2206DF6D-3A5D-4C04-8879-6AF8BB7B9A3E}" xr6:coauthVersionLast="47" xr6:coauthVersionMax="47" xr10:uidLastSave="{3806B163-01FA-491D-B614-B801BA76FFBD}"/>
  <bookViews>
    <workbookView xWindow="1950" yWindow="1725" windowWidth="40740" windowHeight="19875" xr2:uid="{93D3C47A-E494-4A60-A69C-EC7EF5FBAF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2" i="1"/>
  <c r="E20" i="1"/>
  <c r="F20" i="1"/>
  <c r="G20" i="1"/>
  <c r="I20" i="1"/>
  <c r="E8" i="1"/>
  <c r="F8" i="1"/>
  <c r="G8" i="1"/>
  <c r="I8" i="1"/>
  <c r="F12" i="1"/>
  <c r="G12" i="1"/>
  <c r="I12" i="1"/>
  <c r="F16" i="1"/>
  <c r="G16" i="1"/>
  <c r="I16" i="1"/>
  <c r="E24" i="1"/>
  <c r="F24" i="1"/>
  <c r="G24" i="1"/>
  <c r="I24" i="1"/>
  <c r="D24" i="1"/>
  <c r="D20" i="1"/>
  <c r="D16" i="1"/>
  <c r="D12" i="1"/>
  <c r="D8" i="1"/>
</calcChain>
</file>

<file path=xl/sharedStrings.xml><?xml version="1.0" encoding="utf-8"?>
<sst xmlns="http://schemas.openxmlformats.org/spreadsheetml/2006/main" count="43" uniqueCount="29">
  <si>
    <t>Mn (kDa)</t>
  </si>
  <si>
    <t>Mw (kDa)</t>
  </si>
  <si>
    <t>PI (Mw/Mn)</t>
  </si>
  <si>
    <t>rw (nm)</t>
  </si>
  <si>
    <t>Inj.mass (µg)</t>
  </si>
  <si>
    <t>Mass recovery (%)</t>
  </si>
  <si>
    <t>Xanthan 0x003[260602]</t>
  </si>
  <si>
    <t>Xanthan 0x</t>
  </si>
  <si>
    <t>Xanthan 0x009[260602]</t>
  </si>
  <si>
    <t>Xanthan 0x014[260602]</t>
  </si>
  <si>
    <t>AVG</t>
  </si>
  <si>
    <t>Xanthan 3x004[260602]</t>
  </si>
  <si>
    <t>Xanthan 3x</t>
  </si>
  <si>
    <t>Xanthan 3x010[260602]</t>
  </si>
  <si>
    <t>Xanthan 3x015[260602]</t>
  </si>
  <si>
    <t>Xanthan 5x005[260602]</t>
  </si>
  <si>
    <t>Xanthan 5x</t>
  </si>
  <si>
    <t>Xanthan 5x011[260602]</t>
  </si>
  <si>
    <t>Xanthan 5x016[260602]</t>
  </si>
  <si>
    <t>Xanthan 7x006[260602]</t>
  </si>
  <si>
    <t>Xanthan 7x</t>
  </si>
  <si>
    <t>Xanthan 7x012[260602]</t>
  </si>
  <si>
    <t>Xanthan 7x017[260602]</t>
  </si>
  <si>
    <t>Xanthan 10x007[260602]</t>
  </si>
  <si>
    <t>Xanthan 10x</t>
  </si>
  <si>
    <t>Xanthan 10x013[260602]</t>
  </si>
  <si>
    <t>Xanthan 10x018[260602]</t>
  </si>
  <si>
    <t>P137002[260602]</t>
  </si>
  <si>
    <t>P137008[260602]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</si>
</sst>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180975</xdr:colOff>
      <xdr:row>32</xdr:row>
      <xdr:rowOff>104775</xdr:rowOff>
    </xdr:from>
    <xdr:ext cx="10575524" cy="31149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15F976-389D-8827-8940-5682EC92CF5A}"/>
            </a:ext>
          </a:extLst>
        </xdr:cNvPr>
        <xdr:cNvSpPr txBox="1"/>
      </xdr:nvSpPr>
      <xdr:spPr>
        <a:xfrm>
          <a:off x="9705975" y="6200775"/>
          <a:ext cx="10575524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400"/>
            <a:t>Fig</a:t>
          </a:r>
          <a:r>
            <a:rPr lang="nb-NO" sz="1400" baseline="0"/>
            <a:t> 1: RI Chrom with overlaid Vol-Mw line for xanthan 0x(red), 3x (dark green), 5x (black), 7x (light green) and 10x (brown</a:t>
          </a:r>
          <a:r>
            <a:rPr lang="nb-NO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).Inj nr 9-13 ( 25µg of each).</a:t>
          </a:r>
        </a:p>
      </xdr:txBody>
    </xdr:sp>
    <xdr:clientData/>
  </xdr:oneCellAnchor>
  <xdr:twoCellAnchor editAs="oneCell">
    <xdr:from>
      <xdr:col>11</xdr:col>
      <xdr:colOff>114983</xdr:colOff>
      <xdr:row>1</xdr:row>
      <xdr:rowOff>28575</xdr:rowOff>
    </xdr:from>
    <xdr:to>
      <xdr:col>26</xdr:col>
      <xdr:colOff>507007</xdr:colOff>
      <xdr:row>31</xdr:row>
      <xdr:rowOff>153736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AC726D-8C22-02BA-83E2-FA6C6FC0B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9983" y="219075"/>
          <a:ext cx="9536024" cy="5840161"/>
        </a:xfrm>
        <a:prstGeom prst="rect">
          <a:avLst/>
        </a:prstGeom>
      </xdr:spPr>
    </xdr:pic>
    <xdr:clientData/>
  </xdr:twoCellAnchor>
  <xdr:twoCellAnchor editAs="oneCell">
    <xdr:from>
      <xdr:col>0</xdr:col>
      <xdr:colOff>362797</xdr:colOff>
      <xdr:row>28</xdr:row>
      <xdr:rowOff>47624</xdr:rowOff>
    </xdr:from>
    <xdr:to>
      <xdr:col>10</xdr:col>
      <xdr:colOff>358832</xdr:colOff>
      <xdr:row>56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06DE1F-1455-F80F-6D36-980DA9DCB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797" y="5381624"/>
          <a:ext cx="8911435" cy="5448301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57</xdr:row>
      <xdr:rowOff>28575</xdr:rowOff>
    </xdr:from>
    <xdr:ext cx="9068380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CBE47C-8813-4460-9E42-8B90262306D2}"/>
            </a:ext>
          </a:extLst>
        </xdr:cNvPr>
        <xdr:cNvSpPr txBox="1"/>
      </xdr:nvSpPr>
      <xdr:spPr>
        <a:xfrm>
          <a:off x="685800" y="10887075"/>
          <a:ext cx="9068380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400"/>
            <a:t>Fig</a:t>
          </a:r>
          <a:r>
            <a:rPr lang="nb-NO" sz="1400" baseline="0"/>
            <a:t> 2: Cummulative weight dist, for xanthan 0x(red), 3x (dark green), 5x (black), 7x (light green) and 10x (brown). Inj nr 9-13</a:t>
          </a:r>
          <a:r>
            <a:rPr lang="nb-NO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nb-NO" sz="1400"/>
        </a:p>
      </xdr:txBody>
    </xdr:sp>
    <xdr:clientData/>
  </xdr:oneCellAnchor>
  <xdr:twoCellAnchor>
    <xdr:from>
      <xdr:col>12</xdr:col>
      <xdr:colOff>238125</xdr:colOff>
      <xdr:row>36</xdr:row>
      <xdr:rowOff>9525</xdr:rowOff>
    </xdr:from>
    <xdr:to>
      <xdr:col>19</xdr:col>
      <xdr:colOff>219075</xdr:colOff>
      <xdr:row>44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5F09EE-4511-2696-40C5-B923D00C0EB9}"/>
            </a:ext>
          </a:extLst>
        </xdr:cNvPr>
        <xdr:cNvSpPr txBox="1"/>
      </xdr:nvSpPr>
      <xdr:spPr>
        <a:xfrm>
          <a:off x="10372725" y="6867525"/>
          <a:ext cx="4248150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400"/>
            <a:t>Comments: Mn</a:t>
          </a:r>
          <a:r>
            <a:rPr lang="nb-NO" sz="1400" baseline="0"/>
            <a:t> for Xanthan 0x is certainly wrong, the separation is very poor.</a:t>
          </a:r>
        </a:p>
        <a:p>
          <a:r>
            <a:rPr lang="nb-NO" sz="1400" baseline="0"/>
            <a:t>The sample was heavy to filter ( 0.45µm</a:t>
          </a:r>
          <a:endParaRPr lang="nb-NO" sz="1400"/>
        </a:p>
      </xdr:txBody>
    </xdr:sp>
    <xdr:clientData/>
  </xdr:twoCellAnchor>
  <xdr:twoCellAnchor editAs="oneCell">
    <xdr:from>
      <xdr:col>12</xdr:col>
      <xdr:colOff>114300</xdr:colOff>
      <xdr:row>45</xdr:row>
      <xdr:rowOff>104775</xdr:rowOff>
    </xdr:from>
    <xdr:to>
      <xdr:col>33</xdr:col>
      <xdr:colOff>544772</xdr:colOff>
      <xdr:row>71</xdr:row>
      <xdr:rowOff>143572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09815D-B822-5F1A-60AD-77C779DB0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48900" y="8677275"/>
          <a:ext cx="13232072" cy="4991797"/>
        </a:xfrm>
        <a:prstGeom prst="rect">
          <a:avLst/>
        </a:prstGeom>
      </xdr:spPr>
    </xdr:pic>
    <xdr:clientData/>
  </xdr:twoCellAnchor>
  <xdr:oneCellAnchor>
    <xdr:from>
      <xdr:col>12</xdr:col>
      <xdr:colOff>495300</xdr:colOff>
      <xdr:row>73</xdr:row>
      <xdr:rowOff>95250</xdr:rowOff>
    </xdr:from>
    <xdr:ext cx="355007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A0A7CB-CA11-44CD-B1F2-49757BEC19CB}"/>
            </a:ext>
          </a:extLst>
        </xdr:cNvPr>
        <xdr:cNvSpPr txBox="1"/>
      </xdr:nvSpPr>
      <xdr:spPr>
        <a:xfrm>
          <a:off x="10629900" y="14001750"/>
          <a:ext cx="3550074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400"/>
            <a:t>Fig</a:t>
          </a:r>
          <a:r>
            <a:rPr lang="nb-NO" sz="1400" baseline="0"/>
            <a:t> 3: LS (red) and RI (blue) for xanthan 0x nr.9</a:t>
          </a:r>
          <a:endParaRPr lang="nb-NO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B0AA-C7BB-46E5-8F85-7653601EDE17}">
  <dimension ref="B4:I27"/>
  <sheetViews>
    <sheetView tabSelected="1" workbookViewId="0">
      <selection activeCell="E18" sqref="E18"/>
    </sheetView>
  </sheetViews>
  <sheetFormatPr defaultRowHeight="15"/>
  <cols>
    <col min="2" max="2" width="22.28515625" bestFit="1" customWidth="1"/>
    <col min="3" max="3" width="22.28515625" customWidth="1"/>
    <col min="4" max="4" width="9" bestFit="1" customWidth="1"/>
    <col min="5" max="5" width="9.28515625" bestFit="1" customWidth="1"/>
    <col min="6" max="6" width="11" bestFit="1" customWidth="1"/>
    <col min="7" max="7" width="11.28515625" customWidth="1"/>
    <col min="8" max="8" width="13.28515625" customWidth="1"/>
    <col min="9" max="9" width="17" bestFit="1" customWidth="1"/>
  </cols>
  <sheetData>
    <row r="4" spans="2:9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</row>
    <row r="5" spans="2:9">
      <c r="B5" t="s">
        <v>6</v>
      </c>
      <c r="C5" t="s">
        <v>7</v>
      </c>
      <c r="D5" s="2">
        <v>1659.9</v>
      </c>
      <c r="E5" s="2">
        <v>1753.5</v>
      </c>
      <c r="F5" s="2">
        <v>1.1000000000000001</v>
      </c>
      <c r="G5" s="2">
        <v>121.8</v>
      </c>
      <c r="H5" s="2">
        <v>50</v>
      </c>
      <c r="I5" s="2">
        <v>42.9</v>
      </c>
    </row>
    <row r="6" spans="2:9">
      <c r="B6" t="s">
        <v>8</v>
      </c>
      <c r="C6" t="s">
        <v>7</v>
      </c>
      <c r="D6" s="2">
        <v>1744.9</v>
      </c>
      <c r="E6" s="2">
        <v>1765.1</v>
      </c>
      <c r="F6" s="2">
        <v>1</v>
      </c>
      <c r="G6" s="2">
        <v>133.80000000000001</v>
      </c>
      <c r="H6" s="2">
        <v>25</v>
      </c>
      <c r="I6" s="2">
        <v>36.799999999999997</v>
      </c>
    </row>
    <row r="7" spans="2:9">
      <c r="B7" t="s">
        <v>9</v>
      </c>
      <c r="C7" t="s">
        <v>7</v>
      </c>
      <c r="D7" s="2">
        <v>1774.4</v>
      </c>
      <c r="E7" s="2">
        <v>1857.8</v>
      </c>
      <c r="F7" s="2">
        <v>1</v>
      </c>
      <c r="G7" s="2">
        <v>128</v>
      </c>
      <c r="H7" s="2">
        <v>25</v>
      </c>
      <c r="I7" s="2">
        <v>42.7</v>
      </c>
    </row>
    <row r="8" spans="2:9">
      <c r="C8" s="1" t="s">
        <v>10</v>
      </c>
      <c r="D8" s="3">
        <f>AVERAGE(D5:D7)</f>
        <v>1726.4000000000003</v>
      </c>
      <c r="E8" s="3">
        <f t="shared" ref="E8:I8" si="0">AVERAGE(E5:E7)</f>
        <v>1792.1333333333332</v>
      </c>
      <c r="F8" s="3">
        <f t="shared" si="0"/>
        <v>1.0333333333333334</v>
      </c>
      <c r="G8" s="3">
        <f t="shared" si="0"/>
        <v>127.86666666666667</v>
      </c>
      <c r="H8" s="3"/>
      <c r="I8" s="3">
        <f t="shared" si="0"/>
        <v>40.799999999999997</v>
      </c>
    </row>
    <row r="9" spans="2:9">
      <c r="B9" t="s">
        <v>11</v>
      </c>
      <c r="C9" t="s">
        <v>12</v>
      </c>
      <c r="D9" s="2">
        <v>682.6</v>
      </c>
      <c r="E9" s="2">
        <v>938</v>
      </c>
      <c r="F9" s="2">
        <v>1.4</v>
      </c>
      <c r="G9" s="2">
        <v>67.900000000000006</v>
      </c>
      <c r="H9" s="2">
        <v>50</v>
      </c>
      <c r="I9" s="2">
        <v>64.7</v>
      </c>
    </row>
    <row r="10" spans="2:9">
      <c r="B10" t="s">
        <v>13</v>
      </c>
      <c r="C10" t="s">
        <v>12</v>
      </c>
      <c r="D10" s="2">
        <v>694.4</v>
      </c>
      <c r="E10" s="2">
        <v>946</v>
      </c>
      <c r="F10" s="2">
        <v>1.4</v>
      </c>
      <c r="G10" s="2">
        <v>68.900000000000006</v>
      </c>
      <c r="H10" s="2">
        <v>25</v>
      </c>
      <c r="I10" s="2">
        <v>64.400000000000006</v>
      </c>
    </row>
    <row r="11" spans="2:9">
      <c r="B11" t="s">
        <v>14</v>
      </c>
      <c r="C11" t="s">
        <v>12</v>
      </c>
      <c r="D11" s="2">
        <v>674.6</v>
      </c>
      <c r="E11" s="2">
        <v>935</v>
      </c>
      <c r="F11" s="2">
        <v>1.4</v>
      </c>
      <c r="G11" s="2">
        <v>69.599999999999994</v>
      </c>
      <c r="H11" s="2">
        <v>25</v>
      </c>
      <c r="I11" s="2">
        <v>65.599999999999994</v>
      </c>
    </row>
    <row r="12" spans="2:9">
      <c r="C12" s="1" t="s">
        <v>10</v>
      </c>
      <c r="D12" s="3">
        <f>AVERAGE(D9:D11)</f>
        <v>683.86666666666667</v>
      </c>
      <c r="E12" s="3">
        <f>AVERAGE(E9:E11)</f>
        <v>939.66666666666663</v>
      </c>
      <c r="F12" s="3">
        <f t="shared" ref="E12:I12" si="1">AVERAGE(F9:F11)</f>
        <v>1.3999999999999997</v>
      </c>
      <c r="G12" s="3">
        <f t="shared" si="1"/>
        <v>68.8</v>
      </c>
      <c r="H12" s="3"/>
      <c r="I12" s="3">
        <f t="shared" si="1"/>
        <v>64.900000000000006</v>
      </c>
    </row>
    <row r="13" spans="2:9">
      <c r="B13" t="s">
        <v>15</v>
      </c>
      <c r="C13" t="s">
        <v>16</v>
      </c>
      <c r="D13" s="2">
        <v>548.1</v>
      </c>
      <c r="E13" s="2">
        <v>813.9</v>
      </c>
      <c r="F13" s="2">
        <v>1.5</v>
      </c>
      <c r="G13" s="2">
        <v>66.3</v>
      </c>
      <c r="H13" s="2">
        <v>50</v>
      </c>
      <c r="I13" s="2">
        <v>66.3</v>
      </c>
    </row>
    <row r="14" spans="2:9">
      <c r="B14" t="s">
        <v>17</v>
      </c>
      <c r="C14" t="s">
        <v>16</v>
      </c>
      <c r="D14" s="2">
        <v>556.20000000000005</v>
      </c>
      <c r="E14" s="2">
        <v>825.5</v>
      </c>
      <c r="F14" s="2">
        <v>1.5</v>
      </c>
      <c r="G14" s="2">
        <v>66.599999999999994</v>
      </c>
      <c r="H14" s="2">
        <v>25</v>
      </c>
      <c r="I14" s="2">
        <v>65.599999999999994</v>
      </c>
    </row>
    <row r="15" spans="2:9">
      <c r="B15" t="s">
        <v>18</v>
      </c>
      <c r="C15" t="s">
        <v>16</v>
      </c>
      <c r="D15" s="2">
        <v>541.20000000000005</v>
      </c>
      <c r="E15" s="2">
        <v>816.6</v>
      </c>
      <c r="F15" s="2">
        <v>1.5</v>
      </c>
      <c r="G15" s="2">
        <v>66.8</v>
      </c>
      <c r="H15" s="2">
        <v>25</v>
      </c>
      <c r="I15" s="2">
        <v>66.8</v>
      </c>
    </row>
    <row r="16" spans="2:9">
      <c r="C16" s="1" t="s">
        <v>10</v>
      </c>
      <c r="D16" s="3">
        <f>AVERAGE(D13:D15)</f>
        <v>548.50000000000011</v>
      </c>
      <c r="E16" s="3">
        <f>AVERAGE(E13:E15)</f>
        <v>818.66666666666663</v>
      </c>
      <c r="F16" s="3">
        <f t="shared" ref="E16:I16" si="2">AVERAGE(F13:F15)</f>
        <v>1.5</v>
      </c>
      <c r="G16" s="3">
        <f t="shared" si="2"/>
        <v>66.566666666666663</v>
      </c>
      <c r="H16" s="3"/>
      <c r="I16" s="3">
        <f t="shared" si="2"/>
        <v>66.233333333333334</v>
      </c>
    </row>
    <row r="17" spans="2:9">
      <c r="B17" t="s">
        <v>19</v>
      </c>
      <c r="C17" t="s">
        <v>20</v>
      </c>
      <c r="D17" s="2">
        <v>500</v>
      </c>
      <c r="E17" s="2">
        <v>728.6</v>
      </c>
      <c r="F17" s="2">
        <v>1.5</v>
      </c>
      <c r="G17" s="2">
        <v>61.2</v>
      </c>
      <c r="H17" s="2">
        <v>50</v>
      </c>
      <c r="I17" s="2">
        <v>65.8</v>
      </c>
    </row>
    <row r="18" spans="2:9">
      <c r="B18" t="s">
        <v>21</v>
      </c>
      <c r="C18" t="s">
        <v>20</v>
      </c>
      <c r="D18" s="2">
        <v>506.2</v>
      </c>
      <c r="E18" s="2">
        <v>739.3</v>
      </c>
      <c r="F18" s="2">
        <v>1.5</v>
      </c>
      <c r="G18" s="2">
        <v>61.9</v>
      </c>
      <c r="H18" s="2">
        <v>25</v>
      </c>
      <c r="I18" s="2">
        <v>65.5</v>
      </c>
    </row>
    <row r="19" spans="2:9">
      <c r="B19" t="s">
        <v>22</v>
      </c>
      <c r="C19" t="s">
        <v>20</v>
      </c>
      <c r="D19" s="2">
        <v>516.4</v>
      </c>
      <c r="E19" s="2">
        <v>746.9</v>
      </c>
      <c r="F19" s="2">
        <v>1.4</v>
      </c>
      <c r="G19" s="2">
        <v>62.5</v>
      </c>
      <c r="H19" s="2">
        <v>25</v>
      </c>
      <c r="I19" s="2">
        <v>64.8</v>
      </c>
    </row>
    <row r="20" spans="2:9">
      <c r="C20" s="1" t="s">
        <v>10</v>
      </c>
      <c r="D20" s="3">
        <f>AVERAGE(D17:D19)</f>
        <v>507.5333333333333</v>
      </c>
      <c r="E20" s="3">
        <f t="shared" ref="E20:I20" si="3">AVERAGE(E17:E19)</f>
        <v>738.26666666666677</v>
      </c>
      <c r="F20" s="3">
        <f t="shared" si="3"/>
        <v>1.4666666666666668</v>
      </c>
      <c r="G20" s="3">
        <f t="shared" si="3"/>
        <v>61.866666666666667</v>
      </c>
      <c r="H20" s="3"/>
      <c r="I20" s="3">
        <f t="shared" si="3"/>
        <v>65.366666666666674</v>
      </c>
    </row>
    <row r="21" spans="2:9">
      <c r="B21" t="s">
        <v>23</v>
      </c>
      <c r="C21" t="s">
        <v>24</v>
      </c>
      <c r="D21" s="2">
        <v>469.1</v>
      </c>
      <c r="E21" s="2">
        <v>662.2</v>
      </c>
      <c r="F21" s="2">
        <v>1.4</v>
      </c>
      <c r="G21" s="2">
        <v>55.2</v>
      </c>
      <c r="H21" s="2">
        <v>50</v>
      </c>
      <c r="I21" s="2">
        <v>65</v>
      </c>
    </row>
    <row r="22" spans="2:9">
      <c r="B22" t="s">
        <v>25</v>
      </c>
      <c r="C22" t="s">
        <v>24</v>
      </c>
      <c r="D22" s="2">
        <v>467.2</v>
      </c>
      <c r="E22" s="2">
        <v>661.8</v>
      </c>
      <c r="F22" s="2">
        <v>1.4</v>
      </c>
      <c r="G22" s="2">
        <v>56.2</v>
      </c>
      <c r="H22" s="2">
        <v>25</v>
      </c>
      <c r="I22" s="2">
        <v>65.900000000000006</v>
      </c>
    </row>
    <row r="23" spans="2:9">
      <c r="B23" t="s">
        <v>26</v>
      </c>
      <c r="C23" t="s">
        <v>24</v>
      </c>
      <c r="D23" s="2">
        <v>461</v>
      </c>
      <c r="E23" s="2">
        <v>667.6</v>
      </c>
      <c r="F23" s="2">
        <v>1.4</v>
      </c>
      <c r="G23" s="2">
        <v>55.8</v>
      </c>
      <c r="H23" s="2">
        <v>25</v>
      </c>
      <c r="I23" s="2">
        <v>65.5</v>
      </c>
    </row>
    <row r="24" spans="2:9">
      <c r="C24" s="1" t="s">
        <v>10</v>
      </c>
      <c r="D24" s="3">
        <f>AVERAGE(D21:D23)</f>
        <v>465.76666666666665</v>
      </c>
      <c r="E24" s="3">
        <f t="shared" ref="E24:I24" si="4">AVERAGE(E21:E23)</f>
        <v>663.86666666666667</v>
      </c>
      <c r="F24" s="3">
        <f t="shared" si="4"/>
        <v>1.3999999999999997</v>
      </c>
      <c r="G24" s="3">
        <f t="shared" si="4"/>
        <v>55.733333333333327</v>
      </c>
      <c r="H24" s="3"/>
      <c r="I24" s="3">
        <f t="shared" si="4"/>
        <v>65.466666666666669</v>
      </c>
    </row>
    <row r="26" spans="2:9">
      <c r="B26" t="s">
        <v>27</v>
      </c>
      <c r="D26">
        <v>120.1</v>
      </c>
      <c r="E26">
        <v>133</v>
      </c>
      <c r="F26">
        <v>1.1000000000000001</v>
      </c>
      <c r="G26">
        <v>9.6</v>
      </c>
      <c r="H26">
        <v>100</v>
      </c>
      <c r="I26">
        <v>91.6</v>
      </c>
    </row>
    <row r="27" spans="2:9">
      <c r="B27" t="s">
        <v>28</v>
      </c>
      <c r="D27">
        <v>121.2</v>
      </c>
      <c r="E27">
        <v>134.19999999999999</v>
      </c>
      <c r="F27">
        <v>1.1000000000000001</v>
      </c>
      <c r="G27">
        <v>11</v>
      </c>
      <c r="H27">
        <v>50</v>
      </c>
      <c r="I27">
        <v>91.4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732B9A3604F498071E9B57648EE42" ma:contentTypeVersion="11" ma:contentTypeDescription="Create a new document." ma:contentTypeScope="" ma:versionID="c52d17fe5f4401928a6c03db341f1f58">
  <xsd:schema xmlns:xsd="http://www.w3.org/2001/XMLSchema" xmlns:xs="http://www.w3.org/2001/XMLSchema" xmlns:p="http://schemas.microsoft.com/office/2006/metadata/properties" xmlns:ns2="7a3b905f-5f31-4f27-916d-c00a61cb01f2" targetNamespace="http://schemas.microsoft.com/office/2006/metadata/properties" ma:root="true" ma:fieldsID="53d60ecf36e0c0b6eef5bcdd71bb823a" ns2:_="">
    <xsd:import namespace="7a3b905f-5f31-4f27-916d-c00a61cb01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b905f-5f31-4f27-916d-c00a61cb01f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3b905f-5f31-4f27-916d-c00a61cb01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D67E6E-D4DC-4179-A524-22476AF69E2D}"/>
</file>

<file path=customXml/itemProps2.xml><?xml version="1.0" encoding="utf-8"?>
<ds:datastoreItem xmlns:ds="http://schemas.openxmlformats.org/officeDocument/2006/customXml" ds:itemID="{CE5D5049-D29D-456E-87F6-5FCC46969412}"/>
</file>

<file path=customXml/itemProps3.xml><?xml version="1.0" encoding="utf-8"?>
<ds:datastoreItem xmlns:ds="http://schemas.openxmlformats.org/officeDocument/2006/customXml" ds:itemID="{099E4824-27DD-4C05-9C89-59B01E4E4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Olav Andreas Aarstad</dc:creator>
  <cp:keywords/>
  <dc:description/>
  <cp:lastModifiedBy>Julian Wegner</cp:lastModifiedBy>
  <cp:revision/>
  <dcterms:created xsi:type="dcterms:W3CDTF">2026-06-03T11:03:12Z</dcterms:created>
  <dcterms:modified xsi:type="dcterms:W3CDTF">2026-06-17T08:18:58Z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0x010100574732B9A3604F498071E9B57648EE42</vt:lpwstr>
  </property>
  <property fmtid="{D5CDD505-2E9C-101B-9397-08002B2CF9AE}" pid="3" name="MediaServiceImageTags">
    <vt:lpwstr/>
  </property>
</Properties>
</file>